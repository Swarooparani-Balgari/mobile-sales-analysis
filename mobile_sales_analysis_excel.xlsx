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Documents\"/>
    </mc:Choice>
  </mc:AlternateContent>
  <xr:revisionPtr revIDLastSave="0" documentId="13_ncr:1_{99002599-0B05-4236-8E8C-5559E4C30011}" xr6:coauthVersionLast="47" xr6:coauthVersionMax="47" xr10:uidLastSave="{00000000-0000-0000-0000-000000000000}"/>
  <bookViews>
    <workbookView xWindow="-108" yWindow="-108" windowWidth="23256" windowHeight="12456" firstSheet="1" activeTab="3" xr2:uid="{8D7E138B-D230-412C-9363-CDC1B3F63748}"/>
  </bookViews>
  <sheets>
    <sheet name="Revenue by Brand" sheetId="2" r:id="rId1"/>
    <sheet name="Revenue by Sales Person" sheetId="5" r:id="rId2"/>
    <sheet name="Revenue by City" sheetId="3" r:id="rId3"/>
    <sheet name="Raw_Dataset" sheetId="1" r:id="rId4"/>
  </sheets>
  <calcPr calcId="191029"/>
  <pivotCaches>
    <pivotCache cacheId="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0" i="1" l="1"/>
  <c r="M8" i="1"/>
  <c r="M6" i="1"/>
  <c r="M4" i="1"/>
  <c r="M2" i="1"/>
  <c r="J3" i="1"/>
  <c r="J4" i="1"/>
  <c r="J5" i="1"/>
  <c r="J6" i="1"/>
  <c r="J7" i="1"/>
  <c r="J8" i="1"/>
  <c r="J9" i="1"/>
  <c r="J10" i="1"/>
  <c r="J11" i="1"/>
  <c r="J2" i="1"/>
</calcChain>
</file>

<file path=xl/sharedStrings.xml><?xml version="1.0" encoding="utf-8"?>
<sst xmlns="http://schemas.openxmlformats.org/spreadsheetml/2006/main" count="80" uniqueCount="41">
  <si>
    <t>OrderID</t>
  </si>
  <si>
    <t>OrderDate</t>
  </si>
  <si>
    <t>Salesperson</t>
  </si>
  <si>
    <t>City</t>
  </si>
  <si>
    <t>Brand</t>
  </si>
  <si>
    <t>Model</t>
  </si>
  <si>
    <t>Quantity</t>
  </si>
  <si>
    <t>UnitPrice</t>
  </si>
  <si>
    <t>Discount</t>
  </si>
  <si>
    <t>Rahul</t>
  </si>
  <si>
    <t>Delhi</t>
  </si>
  <si>
    <t>Samsung</t>
  </si>
  <si>
    <t>Galaxy S22</t>
  </si>
  <si>
    <t>Neha</t>
  </si>
  <si>
    <t>Mumbai</t>
  </si>
  <si>
    <t>Apple</t>
  </si>
  <si>
    <t>iPhone 14</t>
  </si>
  <si>
    <t>Amit</t>
  </si>
  <si>
    <t>Bangalore</t>
  </si>
  <si>
    <t>Xiaomi</t>
  </si>
  <si>
    <t>Redmi Note 12</t>
  </si>
  <si>
    <t>Priya</t>
  </si>
  <si>
    <t>iPhone 13</t>
  </si>
  <si>
    <t>Hyderabad</t>
  </si>
  <si>
    <t>Galaxy A54</t>
  </si>
  <si>
    <t>OnePlus</t>
  </si>
  <si>
    <t>OnePlus 11</t>
  </si>
  <si>
    <t>Karan</t>
  </si>
  <si>
    <t>Redmi 12</t>
  </si>
  <si>
    <t>Revenue</t>
  </si>
  <si>
    <t>Total Revenue</t>
  </si>
  <si>
    <t>Total Discount Given</t>
  </si>
  <si>
    <t>Total Oders</t>
  </si>
  <si>
    <t>Average Order Value</t>
  </si>
  <si>
    <t>Grand Total</t>
  </si>
  <si>
    <t>Sum of Revenue</t>
  </si>
  <si>
    <t>Revenue by Brand</t>
  </si>
  <si>
    <t>Revenue by City</t>
  </si>
  <si>
    <t>Sales Person</t>
  </si>
  <si>
    <t>Revenue by Sales Person</t>
  </si>
  <si>
    <t>Total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</si>
</sst>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2.xlsx]Revenue by Brand!PivotTable1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by Brand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'Revenue by Brand'!$B$3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cat>
            <c:strRef>
              <c:f>'Revenue by Brand'!$A$4:$A$8</c:f>
              <c:strCache>
                <c:ptCount val="4"/>
                <c:pt idx="0">
                  <c:v>Apple</c:v>
                </c:pt>
                <c:pt idx="1">
                  <c:v>Samsung</c:v>
                </c:pt>
                <c:pt idx="2">
                  <c:v>OnePlus</c:v>
                </c:pt>
                <c:pt idx="3">
                  <c:v>Xiaomi</c:v>
                </c:pt>
              </c:strCache>
            </c:strRef>
          </c:cat>
          <c:val>
            <c:numRef>
              <c:f>'Revenue by Brand'!$B$4:$B$8</c:f>
              <c:numCache>
                <c:formatCode>General</c:formatCode>
                <c:ptCount val="4"/>
                <c:pt idx="0">
                  <c:v>219500</c:v>
                </c:pt>
                <c:pt idx="1">
                  <c:v>196000</c:v>
                </c:pt>
                <c:pt idx="2">
                  <c:v>119500</c:v>
                </c:pt>
                <c:pt idx="3">
                  <c:v>78800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D6-4EE2-9759-F46FFBCDC5A0}"/>
            </c:ext>
          </c:extLst>
        </c:ser>
        <c:dLbls>
          <c:dLblPos val="bestFit"/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2.xlsx]Revenue by Sales Person!PivotTable3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by Sales Person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by Sales Person'!$B$3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'Revenue by Sales Person'!$A$4:$A$9</c:f>
              <c:strCache>
                <c:ptCount val="5"/>
                <c:pt idx="0">
                  <c:v>Rahul</c:v>
                </c:pt>
                <c:pt idx="1">
                  <c:v>Priya</c:v>
                </c:pt>
                <c:pt idx="2">
                  <c:v>Neha</c:v>
                </c:pt>
                <c:pt idx="3">
                  <c:v>Amit</c:v>
                </c:pt>
                <c:pt idx="4">
                  <c:v>Karan</c:v>
                </c:pt>
              </c:strCache>
            </c:strRef>
          </c:cat>
          <c:val>
            <c:numRef>
              <c:f>'Revenue by Sales Person'!$B$4:$B$9</c:f>
              <c:numCache>
                <c:formatCode>General</c:formatCode>
                <c:ptCount val="5"/>
                <c:pt idx="0">
                  <c:v>187000</c:v>
                </c:pt>
                <c:pt idx="1">
                  <c:v>141500</c:v>
                </c:pt>
                <c:pt idx="2">
                  <c:v>137500</c:v>
                </c:pt>
                <c:pt idx="3">
                  <c:v>104000</c:v>
                </c:pt>
                <c:pt idx="4">
                  <c:v>43800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33E-49D6-A8EC-E905090362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4915616"/>
        <c:axId val="1347291840"/>
      </c:barChart>
      <c:catAx>
        <c:axId val="1354915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7291840"/>
        <c:crosses val="autoZero"/>
        <c:auto val="1"/>
        <c:lblAlgn val="ctr"/>
        <c:lblOffset val="100"/>
        <c:noMultiLvlLbl val="0"/>
      </c:catAx>
      <c:valAx>
        <c:axId val="1347291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9156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2.xlsx]Revenue by City!PivotTable2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by City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'Revenue by City'!$B$3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'Revenue by City'!$A$4:$A$8</c:f>
              <c:strCache>
                <c:ptCount val="4"/>
                <c:pt idx="0">
                  <c:v>Bangalore</c:v>
                </c:pt>
                <c:pt idx="1">
                  <c:v>Hyderabad</c:v>
                </c:pt>
                <c:pt idx="2">
                  <c:v>Mumbai</c:v>
                </c:pt>
                <c:pt idx="3">
                  <c:v>Delhi</c:v>
                </c:pt>
              </c:strCache>
            </c:strRef>
          </c:cat>
          <c:val>
            <c:numRef>
              <c:f>'Revenue by City'!$B$4:$B$8</c:f>
              <c:numCache>
                <c:formatCode>General</c:formatCode>
                <c:ptCount val="4"/>
                <c:pt idx="0">
                  <c:v>78800</c:v>
                </c:pt>
                <c:pt idx="1">
                  <c:v>136000</c:v>
                </c:pt>
                <c:pt idx="2">
                  <c:v>137500</c:v>
                </c:pt>
                <c:pt idx="3">
                  <c:v>261500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24-44B3-B314-78E72EAAED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358806048"/>
        <c:axId val="1358804608"/>
      </c:barChart>
      <c:catAx>
        <c:axId val="13588060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8804608"/>
        <c:crosses val="autoZero"/>
        <c:auto val="1"/>
        <c:lblAlgn val="ctr"/>
        <c:lblOffset val="100"/>
        <c:noMultiLvlLbl val="0"/>
      </c:catAx>
      <c:valAx>
        <c:axId val="1358804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8806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152400</xdr:colOff>
      <xdr:row>2</xdr:row>
      <xdr:rowOff>34290</xdr:rowOff>
    </xdr:from>
    <xdr:to>
      <xdr:col>11</xdr:col>
      <xdr:colOff>457200</xdr:colOff>
      <xdr:row>17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88578B-FE97-8E85-DB0D-1B58680E2E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3</xdr:row>
      <xdr:rowOff>19050</xdr:rowOff>
    </xdr:from>
    <xdr:to>
      <xdr:col>10</xdr:col>
      <xdr:colOff>312420</xdr:colOff>
      <xdr:row>18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73F3C3-E1F2-84D7-59D6-05614A1F2B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365760</xdr:colOff>
      <xdr:row>3</xdr:row>
      <xdr:rowOff>125730</xdr:rowOff>
    </xdr:from>
    <xdr:to>
      <xdr:col>12</xdr:col>
      <xdr:colOff>60960</xdr:colOff>
      <xdr:row>18</xdr:row>
      <xdr:rowOff>125730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3A74B0-E9DE-AED8-0FCB-4952F0B51D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093.480218634257" createdVersion="8" refreshedVersion="8" minRefreshableVersion="3" recordCount="10" xr:uid="{49D19E3A-B895-4D9B-8618-28D9E46266F0}">
  <cacheSource type="worksheet">
    <worksheetSource ref="A1:J11" sheet="Raw_Dataset"/>
  </cacheSource>
  <cacheFields count="10">
    <cacheField name="OrderID" numFmtId="0">
      <sharedItems containsSemiMixedTypes="0" containsString="0" containsNumber="1" containsInteger="1" minValue="8001" maxValue="8010"/>
    </cacheField>
    <cacheField name="OrderDate" numFmtId="14">
      <sharedItems containsSemiMixedTypes="0" containsNonDate="0" containsDate="1" containsString="0" minDate="2025-07-01T00:00:00" maxDate="2025-07-06T00:00:00"/>
    </cacheField>
    <cacheField name="Salesperson" numFmtId="0">
      <sharedItems count="5">
        <s v="Rahul"/>
        <s v="Neha"/>
        <s v="Amit"/>
        <s v="Priya"/>
        <s v="Karan"/>
      </sharedItems>
    </cacheField>
    <cacheField name="City" numFmtId="0">
      <sharedItems count="4">
        <s v="Delhi"/>
        <s v="Mumbai"/>
        <s v="Bangalore"/>
        <s v="Hyderabad"/>
      </sharedItems>
    </cacheField>
    <cacheField name="Brand" numFmtId="0">
      <sharedItems count="4">
        <s v="Samsung"/>
        <s v="Apple"/>
        <s v="Xiaomi"/>
        <s v="OnePlus"/>
      </sharedItems>
    </cacheField>
    <cacheField name="Model" numFmtId="0">
      <sharedItems/>
    </cacheField>
    <cacheField name="Quantity" numFmtId="0">
      <sharedItems containsSemiMixedTypes="0" containsString="0" containsNumber="1" containsInteger="1" minValue="1" maxValue="3"/>
    </cacheField>
    <cacheField name="UnitPrice" numFmtId="0">
      <sharedItems containsSemiMixedTypes="0" containsString="0" containsNumber="1" containsInteger="1" minValue="15000" maxValue="80000"/>
    </cacheField>
    <cacheField name="Discount" numFmtId="0">
      <sharedItems containsSemiMixedTypes="0" containsString="0" containsNumber="1" containsInteger="1" minValue="1000" maxValue="3000"/>
    </cacheField>
    <cacheField name="Revenue" numFmtId="0">
      <sharedItems containsSemiMixedTypes="0" containsString="0" containsNumber="1" containsInteger="1" minValue="35000" maxValue="78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8001"/>
    <d v="2025-07-01T00:00:00"/>
    <x v="0"/>
    <x v="0"/>
    <x v="0"/>
    <s v="Galaxy S22"/>
    <n v="1"/>
    <n v="72000"/>
    <n v="3000"/>
    <n v="69000"/>
  </r>
  <r>
    <n v="8002"/>
    <d v="2025-07-01T00:00:00"/>
    <x v="1"/>
    <x v="1"/>
    <x v="1"/>
    <s v="iPhone 14"/>
    <n v="1"/>
    <n v="80000"/>
    <n v="2000"/>
    <n v="78000"/>
  </r>
  <r>
    <n v="8003"/>
    <d v="2025-07-02T00:00:00"/>
    <x v="2"/>
    <x v="2"/>
    <x v="2"/>
    <s v="Redmi Note 12"/>
    <n v="2"/>
    <n v="18000"/>
    <n v="1000"/>
    <n v="35000"/>
  </r>
  <r>
    <n v="8004"/>
    <d v="2025-07-02T00:00:00"/>
    <x v="3"/>
    <x v="0"/>
    <x v="1"/>
    <s v="iPhone 13"/>
    <n v="1"/>
    <n v="65000"/>
    <n v="1500"/>
    <n v="63500"/>
  </r>
  <r>
    <n v="8005"/>
    <d v="2025-07-03T00:00:00"/>
    <x v="0"/>
    <x v="3"/>
    <x v="0"/>
    <s v="Galaxy A54"/>
    <n v="2"/>
    <n v="30000"/>
    <n v="2000"/>
    <n v="58000"/>
  </r>
  <r>
    <n v="8006"/>
    <d v="2025-07-03T00:00:00"/>
    <x v="1"/>
    <x v="1"/>
    <x v="3"/>
    <s v="OnePlus 11"/>
    <n v="1"/>
    <n v="62000"/>
    <n v="2500"/>
    <n v="59500"/>
  </r>
  <r>
    <n v="8007"/>
    <d v="2025-07-04T00:00:00"/>
    <x v="4"/>
    <x v="2"/>
    <x v="2"/>
    <s v="Redmi 12"/>
    <n v="3"/>
    <n v="15000"/>
    <n v="1200"/>
    <n v="43800"/>
  </r>
  <r>
    <n v="8008"/>
    <d v="2025-07-04T00:00:00"/>
    <x v="2"/>
    <x v="0"/>
    <x v="0"/>
    <s v="Galaxy S22"/>
    <n v="1"/>
    <n v="72000"/>
    <n v="3000"/>
    <n v="69000"/>
  </r>
  <r>
    <n v="8009"/>
    <d v="2025-07-05T00:00:00"/>
    <x v="3"/>
    <x v="3"/>
    <x v="1"/>
    <s v="iPhone 14"/>
    <n v="1"/>
    <n v="80000"/>
    <n v="2000"/>
    <n v="78000"/>
  </r>
  <r>
    <n v="8010"/>
    <d v="2025-07-05T00:00:00"/>
    <x v="0"/>
    <x v="0"/>
    <x v="3"/>
    <s v="OnePlus 11"/>
    <n v="1"/>
    <n v="62000"/>
    <n v="2000"/>
    <n v="6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102931-1823-4B81-B98B-E27EEFB18B5C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Brand">
  <location ref="A3:B8" firstHeaderRow="1" firstDataRow="1" firstDataCol="1"/>
  <pivotFields count="10">
    <pivotField showAll="0"/>
    <pivotField numFmtId="14" showAll="0"/>
    <pivotField showAll="0"/>
    <pivotField showAll="0"/>
    <pivotField axis="axisRow" showAll="0" sortType="descending">
      <items count="5">
        <item x="1"/>
        <item x="3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</pivotFields>
  <rowFields count="1">
    <field x="4"/>
  </rowFields>
  <rowItems count="5">
    <i>
      <x/>
    </i>
    <i>
      <x v="2"/>
    </i>
    <i>
      <x v="1"/>
    </i>
    <i>
      <x v="3"/>
    </i>
    <i t="grand">
      <x/>
    </i>
  </rowItems>
  <colItems count="1">
    <i/>
  </colItems>
  <dataFields count="1">
    <dataField name="Sum of Revenue" fld="9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F9F150-7AAF-4624-8F28-0D657123AFDF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Sales Person">
  <location ref="A3:B9" firstHeaderRow="1" firstDataRow="1" firstDataCol="1"/>
  <pivotFields count="10">
    <pivotField showAll="0"/>
    <pivotField numFmtId="14" showAll="0"/>
    <pivotField axis="axisRow" showAll="0" sortType="descending">
      <items count="6">
        <item x="2"/>
        <item x="4"/>
        <item x="1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6">
    <i>
      <x v="4"/>
    </i>
    <i>
      <x v="3"/>
    </i>
    <i>
      <x v="2"/>
    </i>
    <i>
      <x/>
    </i>
    <i>
      <x v="1"/>
    </i>
    <i t="grand">
      <x/>
    </i>
  </rowItems>
  <colItems count="1">
    <i/>
  </colItems>
  <dataFields count="1">
    <dataField name="Sum of Revenue" fld="9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085F81-D40E-42CA-9292-1E3659425B59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City">
  <location ref="A3:B8" firstHeaderRow="1" firstDataRow="1" firstDataCol="1"/>
  <pivotFields count="10">
    <pivotField showAll="0"/>
    <pivotField numFmtId="14" showAll="0"/>
    <pivotField showAll="0"/>
    <pivotField axis="axisRow" showAll="0" sortType="ascending">
      <items count="5">
        <item x="2"/>
        <item x="0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</pivotFields>
  <rowFields count="1">
    <field x="3"/>
  </rowFields>
  <rowItems count="5">
    <i>
      <x/>
    </i>
    <i>
      <x v="2"/>
    </i>
    <i>
      <x v="3"/>
    </i>
    <i>
      <x v="1"/>
    </i>
    <i t="grand">
      <x/>
    </i>
  </rowItems>
  <colItems count="1">
    <i/>
  </colItems>
  <dataFields count="1">
    <dataField name="Sum of Revenue" fld="9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4F518-4498-46BC-B404-B8FB035BF575}">
  <dimension ref="A1:B8"/>
  <sheetViews>
    <sheetView workbookViewId="0">
      <selection activeCell="M11" sqref="M11"/>
    </sheetView>
  </sheetViews>
  <sheetFormatPr defaultRowHeight="14.4" x14ac:dyDescent="0.3"/>
  <cols>
    <col min="1" max="1" width="16.44140625" bestFit="1" customWidth="1"/>
    <col min="2" max="2" width="14.88671875" bestFit="1" customWidth="1"/>
  </cols>
  <sheetData>
    <row r="1" spans="1:2" x14ac:dyDescent="0.3">
      <c r="A1" s="4" t="s">
        <v>36</v>
      </c>
    </row>
    <row r="3" spans="1:2" x14ac:dyDescent="0.3">
      <c r="A3" s="5" t="s">
        <v>4</v>
      </c>
      <c r="B3" t="s">
        <v>35</v>
      </c>
    </row>
    <row r="4" spans="1:2" x14ac:dyDescent="0.3">
      <c r="A4" s="6" t="s">
        <v>15</v>
      </c>
      <c r="B4" s="7">
        <v>219500</v>
      </c>
    </row>
    <row r="5" spans="1:2" x14ac:dyDescent="0.3">
      <c r="A5" s="6" t="s">
        <v>11</v>
      </c>
      <c r="B5" s="7">
        <v>196000</v>
      </c>
    </row>
    <row r="6" spans="1:2" x14ac:dyDescent="0.3">
      <c r="A6" s="6" t="s">
        <v>25</v>
      </c>
      <c r="B6" s="7">
        <v>119500</v>
      </c>
    </row>
    <row r="7" spans="1:2" x14ac:dyDescent="0.3">
      <c r="A7" s="6" t="s">
        <v>19</v>
      </c>
      <c r="B7" s="7">
        <v>78800</v>
      </c>
    </row>
    <row r="8" spans="1:2" x14ac:dyDescent="0.3">
      <c r="A8" s="6" t="s">
        <v>34</v>
      </c>
      <c r="B8" s="7">
        <v>613800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3F422-5DAD-4ABB-AF6C-445DA7B64099}">
  <dimension ref="A1:B9"/>
  <sheetViews>
    <sheetView workbookViewId="0">
      <selection activeCell="M12" sqref="M12"/>
    </sheetView>
  </sheetViews>
  <sheetFormatPr defaultRowHeight="14.4" x14ac:dyDescent="0.3"/>
  <cols>
    <col min="1" max="1" width="22.109375" bestFit="1" customWidth="1"/>
    <col min="2" max="2" width="14.88671875" bestFit="1" customWidth="1"/>
  </cols>
  <sheetData>
    <row r="1" spans="1:2" x14ac:dyDescent="0.3">
      <c r="A1" s="4" t="s">
        <v>39</v>
      </c>
    </row>
    <row r="3" spans="1:2" x14ac:dyDescent="0.3">
      <c r="A3" s="5" t="s">
        <v>38</v>
      </c>
      <c r="B3" t="s">
        <v>35</v>
      </c>
    </row>
    <row r="4" spans="1:2" x14ac:dyDescent="0.3">
      <c r="A4" s="6" t="s">
        <v>9</v>
      </c>
      <c r="B4" s="7">
        <v>187000</v>
      </c>
    </row>
    <row r="5" spans="1:2" x14ac:dyDescent="0.3">
      <c r="A5" s="6" t="s">
        <v>21</v>
      </c>
      <c r="B5" s="7">
        <v>141500</v>
      </c>
    </row>
    <row r="6" spans="1:2" x14ac:dyDescent="0.3">
      <c r="A6" s="6" t="s">
        <v>13</v>
      </c>
      <c r="B6" s="7">
        <v>137500</v>
      </c>
    </row>
    <row r="7" spans="1:2" x14ac:dyDescent="0.3">
      <c r="A7" s="6" t="s">
        <v>17</v>
      </c>
      <c r="B7" s="7">
        <v>104000</v>
      </c>
    </row>
    <row r="8" spans="1:2" x14ac:dyDescent="0.3">
      <c r="A8" s="6" t="s">
        <v>27</v>
      </c>
      <c r="B8" s="7">
        <v>43800</v>
      </c>
    </row>
    <row r="9" spans="1:2" x14ac:dyDescent="0.3">
      <c r="A9" s="6" t="s">
        <v>34</v>
      </c>
      <c r="B9" s="7">
        <v>613800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D5694-5DC5-4C2D-A851-0E1F4963BCC7}">
  <dimension ref="A1:B8"/>
  <sheetViews>
    <sheetView workbookViewId="0">
      <selection activeCell="F11" sqref="F11"/>
    </sheetView>
  </sheetViews>
  <sheetFormatPr defaultRowHeight="14.4" x14ac:dyDescent="0.3"/>
  <cols>
    <col min="1" max="1" width="10.77734375" bestFit="1" customWidth="1"/>
    <col min="2" max="2" width="14.88671875" bestFit="1" customWidth="1"/>
  </cols>
  <sheetData>
    <row r="1" spans="1:2" x14ac:dyDescent="0.3">
      <c r="A1" s="4" t="s">
        <v>37</v>
      </c>
    </row>
    <row r="3" spans="1:2" x14ac:dyDescent="0.3">
      <c r="A3" s="5" t="s">
        <v>3</v>
      </c>
      <c r="B3" t="s">
        <v>35</v>
      </c>
    </row>
    <row r="4" spans="1:2" x14ac:dyDescent="0.3">
      <c r="A4" s="6" t="s">
        <v>18</v>
      </c>
      <c r="B4" s="7">
        <v>78800</v>
      </c>
    </row>
    <row r="5" spans="1:2" x14ac:dyDescent="0.3">
      <c r="A5" s="6" t="s">
        <v>23</v>
      </c>
      <c r="B5" s="7">
        <v>136000</v>
      </c>
    </row>
    <row r="6" spans="1:2" x14ac:dyDescent="0.3">
      <c r="A6" s="6" t="s">
        <v>14</v>
      </c>
      <c r="B6" s="7">
        <v>137500</v>
      </c>
    </row>
    <row r="7" spans="1:2" x14ac:dyDescent="0.3">
      <c r="A7" s="6" t="s">
        <v>10</v>
      </c>
      <c r="B7" s="7">
        <v>261500</v>
      </c>
    </row>
    <row r="8" spans="1:2" x14ac:dyDescent="0.3">
      <c r="A8" s="6" t="s">
        <v>34</v>
      </c>
      <c r="B8" s="7">
        <v>613800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21112-B586-4B77-9BA6-05ADD7D5422C}">
  <sheetPr codeName="Sheet1"/>
  <dimension ref="A1:M11"/>
  <sheetViews>
    <sheetView tabSelected="1" workbookViewId="0">
      <selection activeCell="G15" sqref="G15"/>
    </sheetView>
  </sheetViews>
  <sheetFormatPr defaultRowHeight="14.4" x14ac:dyDescent="0.3"/>
  <cols>
    <col min="1" max="1" width="7.5546875" style="2" bestFit="1" customWidth="1"/>
    <col min="2" max="2" width="10.33203125" style="2" bestFit="1" customWidth="1"/>
    <col min="3" max="3" width="11" style="2" bestFit="1" customWidth="1"/>
    <col min="4" max="4" width="9.77734375" style="2" bestFit="1" customWidth="1"/>
    <col min="5" max="5" width="8.109375" style="2" bestFit="1" customWidth="1"/>
    <col min="6" max="6" width="13.21875" style="2" bestFit="1" customWidth="1"/>
    <col min="7" max="7" width="8.33203125" style="2" bestFit="1" customWidth="1"/>
    <col min="8" max="8" width="8.6640625" style="2" bestFit="1" customWidth="1"/>
    <col min="9" max="10" width="8.33203125" style="2" bestFit="1" customWidth="1"/>
    <col min="11" max="11" width="8.88671875" style="2"/>
    <col min="12" max="12" width="18" style="2" bestFit="1" customWidth="1"/>
    <col min="13" max="13" width="7" style="2" bestFit="1" customWidth="1"/>
    <col min="14" max="16384" width="8.88671875" style="2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29</v>
      </c>
    </row>
    <row r="2" spans="1:13" x14ac:dyDescent="0.3">
      <c r="A2" s="2">
        <v>8001</v>
      </c>
      <c r="B2" s="3">
        <v>45839</v>
      </c>
      <c r="C2" s="2" t="s">
        <v>9</v>
      </c>
      <c r="D2" s="2" t="s">
        <v>10</v>
      </c>
      <c r="E2" s="2" t="s">
        <v>11</v>
      </c>
      <c r="F2" s="2" t="s">
        <v>12</v>
      </c>
      <c r="G2" s="2">
        <v>1</v>
      </c>
      <c r="H2" s="2">
        <v>72000</v>
      </c>
      <c r="I2" s="2">
        <v>3000</v>
      </c>
      <c r="J2" s="2">
        <f>(G2*H2)-I2</f>
        <v>69000</v>
      </c>
      <c r="L2" s="2" t="s">
        <v>30</v>
      </c>
      <c r="M2" s="2">
        <f>SUM(J2:J11)</f>
        <v>613800</v>
      </c>
    </row>
    <row r="3" spans="1:13" x14ac:dyDescent="0.3">
      <c r="A3" s="2">
        <v>8002</v>
      </c>
      <c r="B3" s="3">
        <v>45839</v>
      </c>
      <c r="C3" s="2" t="s">
        <v>13</v>
      </c>
      <c r="D3" s="2" t="s">
        <v>14</v>
      </c>
      <c r="E3" s="2" t="s">
        <v>15</v>
      </c>
      <c r="F3" s="2" t="s">
        <v>16</v>
      </c>
      <c r="G3" s="2">
        <v>1</v>
      </c>
      <c r="H3" s="2">
        <v>80000</v>
      </c>
      <c r="I3" s="2">
        <v>2000</v>
      </c>
      <c r="J3" s="2">
        <f t="shared" ref="J3:J11" si="0">(G3*H3)-I3</f>
        <v>78000</v>
      </c>
    </row>
    <row r="4" spans="1:13" x14ac:dyDescent="0.3">
      <c r="A4" s="2">
        <v>8003</v>
      </c>
      <c r="B4" s="3">
        <v>45840</v>
      </c>
      <c r="C4" s="2" t="s">
        <v>17</v>
      </c>
      <c r="D4" s="2" t="s">
        <v>18</v>
      </c>
      <c r="E4" s="2" t="s">
        <v>19</v>
      </c>
      <c r="F4" s="2" t="s">
        <v>20</v>
      </c>
      <c r="G4" s="2">
        <v>2</v>
      </c>
      <c r="H4" s="2">
        <v>18000</v>
      </c>
      <c r="I4" s="2">
        <v>1000</v>
      </c>
      <c r="J4" s="2">
        <f t="shared" si="0"/>
        <v>35000</v>
      </c>
      <c r="L4" s="2" t="s">
        <v>31</v>
      </c>
      <c r="M4" s="2">
        <f>SUM(I2:I11)</f>
        <v>20200</v>
      </c>
    </row>
    <row r="5" spans="1:13" x14ac:dyDescent="0.3">
      <c r="A5" s="2">
        <v>8004</v>
      </c>
      <c r="B5" s="3">
        <v>45840</v>
      </c>
      <c r="C5" s="2" t="s">
        <v>21</v>
      </c>
      <c r="D5" s="2" t="s">
        <v>10</v>
      </c>
      <c r="E5" s="2" t="s">
        <v>15</v>
      </c>
      <c r="F5" s="2" t="s">
        <v>22</v>
      </c>
      <c r="G5" s="2">
        <v>1</v>
      </c>
      <c r="H5" s="2">
        <v>65000</v>
      </c>
      <c r="I5" s="2">
        <v>1500</v>
      </c>
      <c r="J5" s="2">
        <f t="shared" si="0"/>
        <v>63500</v>
      </c>
    </row>
    <row r="6" spans="1:13" x14ac:dyDescent="0.3">
      <c r="A6" s="2">
        <v>8005</v>
      </c>
      <c r="B6" s="3">
        <v>45841</v>
      </c>
      <c r="C6" s="2" t="s">
        <v>9</v>
      </c>
      <c r="D6" s="2" t="s">
        <v>23</v>
      </c>
      <c r="E6" s="2" t="s">
        <v>11</v>
      </c>
      <c r="F6" s="2" t="s">
        <v>24</v>
      </c>
      <c r="G6" s="2">
        <v>2</v>
      </c>
      <c r="H6" s="2">
        <v>30000</v>
      </c>
      <c r="I6" s="2">
        <v>2000</v>
      </c>
      <c r="J6" s="2">
        <f t="shared" si="0"/>
        <v>58000</v>
      </c>
      <c r="L6" s="2" t="s">
        <v>32</v>
      </c>
      <c r="M6" s="2">
        <f>COUNT(A2:A11)</f>
        <v>10</v>
      </c>
    </row>
    <row r="7" spans="1:13" x14ac:dyDescent="0.3">
      <c r="A7" s="2">
        <v>8006</v>
      </c>
      <c r="B7" s="3">
        <v>45841</v>
      </c>
      <c r="C7" s="2" t="s">
        <v>13</v>
      </c>
      <c r="D7" s="2" t="s">
        <v>14</v>
      </c>
      <c r="E7" s="2" t="s">
        <v>25</v>
      </c>
      <c r="F7" s="2" t="s">
        <v>26</v>
      </c>
      <c r="G7" s="2">
        <v>1</v>
      </c>
      <c r="H7" s="2">
        <v>62000</v>
      </c>
      <c r="I7" s="2">
        <v>2500</v>
      </c>
      <c r="J7" s="2">
        <f t="shared" si="0"/>
        <v>59500</v>
      </c>
    </row>
    <row r="8" spans="1:13" x14ac:dyDescent="0.3">
      <c r="A8" s="2">
        <v>8007</v>
      </c>
      <c r="B8" s="3">
        <v>45842</v>
      </c>
      <c r="C8" s="2" t="s">
        <v>27</v>
      </c>
      <c r="D8" s="2" t="s">
        <v>18</v>
      </c>
      <c r="E8" s="2" t="s">
        <v>19</v>
      </c>
      <c r="F8" s="2" t="s">
        <v>28</v>
      </c>
      <c r="G8" s="2">
        <v>3</v>
      </c>
      <c r="H8" s="2">
        <v>15000</v>
      </c>
      <c r="I8" s="2">
        <v>1200</v>
      </c>
      <c r="J8" s="2">
        <f t="shared" si="0"/>
        <v>43800</v>
      </c>
      <c r="L8" s="2" t="s">
        <v>33</v>
      </c>
      <c r="M8" s="2">
        <f>AVERAGE(J2:J11)</f>
        <v>61380</v>
      </c>
    </row>
    <row r="9" spans="1:13" x14ac:dyDescent="0.3">
      <c r="A9" s="2">
        <v>8008</v>
      </c>
      <c r="B9" s="3">
        <v>45842</v>
      </c>
      <c r="C9" s="2" t="s">
        <v>17</v>
      </c>
      <c r="D9" s="2" t="s">
        <v>10</v>
      </c>
      <c r="E9" s="2" t="s">
        <v>11</v>
      </c>
      <c r="F9" s="2" t="s">
        <v>12</v>
      </c>
      <c r="G9" s="2">
        <v>1</v>
      </c>
      <c r="H9" s="2">
        <v>72000</v>
      </c>
      <c r="I9" s="2">
        <v>3000</v>
      </c>
      <c r="J9" s="2">
        <f t="shared" si="0"/>
        <v>69000</v>
      </c>
    </row>
    <row r="10" spans="1:13" x14ac:dyDescent="0.3">
      <c r="A10" s="2">
        <v>8009</v>
      </c>
      <c r="B10" s="3">
        <v>45843</v>
      </c>
      <c r="C10" s="2" t="s">
        <v>21</v>
      </c>
      <c r="D10" s="2" t="s">
        <v>23</v>
      </c>
      <c r="E10" s="2" t="s">
        <v>15</v>
      </c>
      <c r="F10" s="2" t="s">
        <v>16</v>
      </c>
      <c r="G10" s="2">
        <v>1</v>
      </c>
      <c r="H10" s="2">
        <v>80000</v>
      </c>
      <c r="I10" s="2">
        <v>2000</v>
      </c>
      <c r="J10" s="2">
        <f t="shared" si="0"/>
        <v>78000</v>
      </c>
      <c r="L10" s="2" t="s">
        <v>40</v>
      </c>
      <c r="M10" s="2">
        <f>SUM(G2:G11)</f>
        <v>14</v>
      </c>
    </row>
    <row r="11" spans="1:13" x14ac:dyDescent="0.3">
      <c r="A11" s="2">
        <v>8010</v>
      </c>
      <c r="B11" s="3">
        <v>45843</v>
      </c>
      <c r="C11" s="2" t="s">
        <v>9</v>
      </c>
      <c r="D11" s="2" t="s">
        <v>10</v>
      </c>
      <c r="E11" s="2" t="s">
        <v>25</v>
      </c>
      <c r="F11" s="2" t="s">
        <v>26</v>
      </c>
      <c r="G11" s="2">
        <v>1</v>
      </c>
      <c r="H11" s="2">
        <v>62000</v>
      </c>
      <c r="I11" s="2">
        <v>2000</v>
      </c>
      <c r="J11" s="2">
        <f t="shared" si="0"/>
        <v>60000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Revenue by Brand</vt:lpstr>
      <vt:lpstr>Revenue by Sales Person</vt:lpstr>
      <vt:lpstr>Revenue by City</vt:lpstr>
      <vt:lpstr>Raw_Dataset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swaroopa balgari</dc:creator>
  <cp:lastModifiedBy>swaroopa balgari</cp:lastModifiedBy>
  <dcterms:created xsi:type="dcterms:W3CDTF">2026-03-12T05:50:58Z</dcterms:created>
  <dcterms:modified xsi:type="dcterms:W3CDTF">2026-03-12T06:22:41Z</dcterms:modified>
</cp:coreProperties>
</file>